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CP212\Assignments\Assignment04\"/>
    </mc:Choice>
  </mc:AlternateContent>
  <xr:revisionPtr revIDLastSave="0" documentId="13_ncr:1_{FE5BF647-B8FF-49E0-8CC2-4787AEA3468F}" xr6:coauthVersionLast="45" xr6:coauthVersionMax="45" xr10:uidLastSave="{00000000-0000-0000-0000-000000000000}"/>
  <bookViews>
    <workbookView xWindow="-120" yWindow="-120" windowWidth="29040" windowHeight="15840" activeTab="1" xr2:uid="{D166503A-9E93-4EA9-B5F5-57B241377D54}"/>
  </bookViews>
  <sheets>
    <sheet name="Sheet1" sheetId="1" r:id="rId1"/>
    <sheet name="Northwi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1" l="1" a="1"/>
  <c r="D29" i="1" a="1"/>
  <c r="C29" i="1" a="1"/>
  <c r="D19" i="1" a="1"/>
  <c r="C10" i="1" a="1"/>
  <c r="D10" i="1" a="1"/>
  <c r="D10" i="1" l="1"/>
  <c r="C10" i="1"/>
  <c r="D19" i="1"/>
  <c r="C29" i="1"/>
  <c r="D29" i="1"/>
  <c r="C1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A06B66-55DF-452F-AF93-4643454EFE2D}" keepAlive="1" name="Query - northwind2021w accdb" description="Connection to the 'northwind2021w accdb' query in the workbook." type="5" refreshedVersion="6" background="1">
    <dbPr connection="Provider=Microsoft.Mashup.OleDb.1;Data Source=$Workbook$;Location=northwind2021w accdb;Extended Properties=&quot;&quot;" command="SELECT * FROM [northwind2021w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<sst xmlns="http://schemas.openxmlformats.org/spreadsheetml/2006/main" count="24" uniqueCount="13">
  <si>
    <t>Profit Margin Calculator</t>
  </si>
  <si>
    <t>Revenue:</t>
  </si>
  <si>
    <t>Product 1</t>
  </si>
  <si>
    <t>Product 2</t>
  </si>
  <si>
    <t>COGS:</t>
  </si>
  <si>
    <t>Profit Margin:</t>
  </si>
  <si>
    <t>Gross Profit Margin:</t>
  </si>
  <si>
    <t>Operating Profit Marign:</t>
  </si>
  <si>
    <t>Net Profit Margin:</t>
  </si>
  <si>
    <t>Operating Costs:</t>
  </si>
  <si>
    <t>Debt Payments:</t>
  </si>
  <si>
    <t>Northwind Database</t>
  </si>
  <si>
    <t>Make sure database is in the same folder as this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</si>
</sst>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3"/>
    <xf numFmtId="0" fontId="3" fillId="0" borderId="1" xfId="4"/>
    <xf numFmtId="0" fontId="0" fillId="0" borderId="0" xfId="0" applyAlignment="1"/>
    <xf numFmtId="44" fontId="0" fillId="0" borderId="0" xfId="1" applyFont="1" applyAlignment="1"/>
    <xf numFmtId="44" fontId="0" fillId="0" borderId="0" xfId="0" applyNumberFormat="1"/>
    <xf numFmtId="9" fontId="4" fillId="2" borderId="2" xfId="2" applyFont="1" applyFill="1" applyBorder="1"/>
    <xf numFmtId="44" fontId="0" fillId="0" borderId="0" xfId="1" applyFont="1"/>
    <xf numFmtId="0" fontId="6" fillId="0" borderId="0" xfId="5"/>
    <xf numFmtId="0" fontId="2" fillId="0" borderId="1" xfId="3" applyBorder="1"/>
  </cellXfs>
  <cellStyles count="6">
    <cellStyle name="Currency" xfId="1" builtinId="4"/>
    <cellStyle name="Heading 1" xfId="4" builtinId="16"/>
    <cellStyle name="Heading 4" xfId="5" builtinId="19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600075</xdr:colOff>
          <xdr:row>5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2B43A1F7-16C8-48E6-96C9-E5CA926A9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Northwind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2866-CE68-4CA1-9F80-584B845D02F0}">
  <sheetPr codeName="Sheet1"/>
  <dimension ref="A1:G29"/>
  <sheetViews>
    <sheetView zoomScaleNormal="100" workbookViewId="0">
      <selection activeCell="S42" sqref="S42"/>
    </sheetView>
  </sheetViews>
  <sheetFormatPr defaultRowHeight="15" x14ac:dyDescent="0.25"/>
  <cols>
    <col min="1" max="1" width="9.140625" customWidth="1"/>
    <col min="2" max="2" width="19.28515625" customWidth="1"/>
    <col min="3" max="3" width="13.42578125" customWidth="1"/>
    <col min="4" max="4" width="14.140625" customWidth="1"/>
  </cols>
  <sheetData>
    <row r="1" spans="1:7" ht="23.25" x14ac:dyDescent="0.35">
      <c r="A1" s="1" t="s">
        <v>0</v>
      </c>
    </row>
    <row r="4" spans="1:7" ht="20.25" thickBot="1" x14ac:dyDescent="0.35">
      <c r="A4" s="2" t="s">
        <v>6</v>
      </c>
      <c r="B4" s="2"/>
      <c r="C4" s="2"/>
      <c r="D4" s="2"/>
      <c r="E4" s="2"/>
      <c r="F4" s="2"/>
      <c r="G4" s="2"/>
    </row>
    <row r="5" spans="1:7" ht="15.75" thickTop="1" x14ac:dyDescent="0.25"/>
    <row r="6" spans="1:7" x14ac:dyDescent="0.25">
      <c r="C6" t="s">
        <v>2</v>
      </c>
      <c r="D6" t="s">
        <v>3</v>
      </c>
    </row>
    <row r="7" spans="1:7" x14ac:dyDescent="0.25">
      <c r="B7" s="3" t="s">
        <v>1</v>
      </c>
      <c r="C7" s="4">
        <v>5997</v>
      </c>
      <c r="D7" s="7">
        <v>1039.2</v>
      </c>
    </row>
    <row r="8" spans="1:7" x14ac:dyDescent="0.25">
      <c r="B8" t="s">
        <v>4</v>
      </c>
      <c r="C8" s="7">
        <v>4200</v>
      </c>
      <c r="D8" s="7">
        <v>640</v>
      </c>
    </row>
    <row r="10" spans="1:7" x14ac:dyDescent="0.25">
      <c r="B10" t="s">
        <v>5</v>
      </c>
      <c r="C10" s="6" cm="1">
        <f t="array" ref="C10">profitmargin(C7,C8,"gross")</f>
        <v>0.29964983463287354</v>
      </c>
      <c r="D10" s="6" cm="1">
        <f t="array" ref="D10">profitmargin(D7,D8,"grOss")</f>
        <v>0.38414165377616882</v>
      </c>
    </row>
    <row r="12" spans="1:7" ht="20.25" thickBot="1" x14ac:dyDescent="0.35">
      <c r="A12" s="2" t="s">
        <v>7</v>
      </c>
      <c r="B12" s="2"/>
      <c r="C12" s="2"/>
      <c r="D12" s="2"/>
      <c r="E12" s="2"/>
      <c r="F12" s="2"/>
      <c r="G12" s="2"/>
    </row>
    <row r="13" spans="1:7" ht="15.75" thickTop="1" x14ac:dyDescent="0.25"/>
    <row r="14" spans="1:7" x14ac:dyDescent="0.25">
      <c r="C14" t="s">
        <v>2</v>
      </c>
      <c r="D14" t="s">
        <v>3</v>
      </c>
    </row>
    <row r="15" spans="1:7" x14ac:dyDescent="0.25">
      <c r="B15" s="3" t="s">
        <v>1</v>
      </c>
      <c r="C15" s="5">
        <v>9000</v>
      </c>
      <c r="D15" s="5">
        <v>5997</v>
      </c>
    </row>
    <row r="16" spans="1:7" x14ac:dyDescent="0.25">
      <c r="B16" t="s">
        <v>4</v>
      </c>
      <c r="C16" s="5">
        <v>7000</v>
      </c>
      <c r="D16" s="5">
        <v>4200</v>
      </c>
    </row>
    <row r="17" spans="1:7" x14ac:dyDescent="0.25">
      <c r="B17" t="s">
        <v>9</v>
      </c>
      <c r="C17" s="5">
        <v>500</v>
      </c>
      <c r="D17" s="5">
        <v>90</v>
      </c>
    </row>
    <row r="19" spans="1:7" x14ac:dyDescent="0.25">
      <c r="B19" t="s">
        <v>5</v>
      </c>
      <c r="C19" s="6" cm="1">
        <f t="array" ref="C19">profitmargin(C15,C16:C17,"opeRating")</f>
        <v>0.1666666716337204</v>
      </c>
      <c r="D19" s="6" cm="1">
        <f t="array" ref="D19">profitmargin(D15,D16:D17,"operating")</f>
        <v>0.28464230895042419</v>
      </c>
    </row>
    <row r="21" spans="1:7" ht="20.25" thickBot="1" x14ac:dyDescent="0.35">
      <c r="A21" s="2" t="s">
        <v>8</v>
      </c>
      <c r="B21" s="2"/>
      <c r="C21" s="2"/>
      <c r="D21" s="2"/>
      <c r="E21" s="2"/>
      <c r="F21" s="2"/>
      <c r="G21" s="2"/>
    </row>
    <row r="22" spans="1:7" ht="15.75" thickTop="1" x14ac:dyDescent="0.25"/>
    <row r="23" spans="1:7" x14ac:dyDescent="0.25">
      <c r="C23" t="s">
        <v>2</v>
      </c>
      <c r="D23" t="s">
        <v>3</v>
      </c>
    </row>
    <row r="24" spans="1:7" x14ac:dyDescent="0.25">
      <c r="B24" s="3" t="s">
        <v>1</v>
      </c>
      <c r="C24" s="5">
        <v>10000</v>
      </c>
      <c r="D24" s="5">
        <v>5997</v>
      </c>
    </row>
    <row r="25" spans="1:7" x14ac:dyDescent="0.25">
      <c r="B25" t="s">
        <v>4</v>
      </c>
      <c r="C25" s="5">
        <v>8000</v>
      </c>
      <c r="D25" s="5">
        <v>4200</v>
      </c>
    </row>
    <row r="26" spans="1:7" x14ac:dyDescent="0.25">
      <c r="B26" t="s">
        <v>9</v>
      </c>
      <c r="C26" s="5">
        <v>500</v>
      </c>
      <c r="D26" s="5">
        <v>90</v>
      </c>
    </row>
    <row r="27" spans="1:7" x14ac:dyDescent="0.25">
      <c r="B27" t="s">
        <v>10</v>
      </c>
      <c r="C27" s="5">
        <v>500</v>
      </c>
      <c r="D27" s="5">
        <v>500</v>
      </c>
    </row>
    <row r="29" spans="1:7" x14ac:dyDescent="0.25">
      <c r="B29" t="s">
        <v>5</v>
      </c>
      <c r="C29" s="6" cm="1">
        <f t="array" ref="C29">profitmargin(C24,C25:C27,"net")</f>
        <v>0.10000000149011612</v>
      </c>
      <c r="D29" s="6" cm="1">
        <f t="array" ref="D29">profitmargin(D24,D25:D27,"NET")</f>
        <v>0.2012673020362854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5E5-06A9-4D32-B1AF-130481BA6852}">
  <sheetPr codeName="Sheet2"/>
  <dimension ref="A1:G2"/>
  <sheetViews>
    <sheetView tabSelected="1" workbookViewId="0">
      <selection activeCell="I16" sqref="I16"/>
    </sheetView>
  </sheetViews>
  <sheetFormatPr defaultRowHeight="15" x14ac:dyDescent="0.25"/>
  <sheetData>
    <row r="1" spans="1:7" ht="24" thickBot="1" x14ac:dyDescent="0.4">
      <c r="A1" s="9" t="s">
        <v>11</v>
      </c>
      <c r="B1" s="9"/>
      <c r="C1" s="9"/>
      <c r="D1" s="9"/>
      <c r="E1" s="9"/>
      <c r="F1" s="9"/>
      <c r="G1" s="9"/>
    </row>
    <row r="2" spans="1:7" ht="15.75" thickTop="1" x14ac:dyDescent="0.25">
      <c r="A2" s="8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2_Click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613CD4-64BF-4A0A-94A5-189EA46B30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Northwind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Huston</dc:creator>
  <cp:lastModifiedBy>Riley Huston</cp:lastModifiedBy>
  <dcterms:created xsi:type="dcterms:W3CDTF">2021-03-19T00:22:07Z</dcterms:created>
  <dcterms:modified xsi:type="dcterms:W3CDTF">2021-03-19T23:38:26Z</dcterms:modified>
</cp:coreProperties>
</file>